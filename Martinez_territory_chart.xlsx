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dramartinez\Documents\Capstone_1\"/>
    </mc:Choice>
  </mc:AlternateContent>
  <xr:revisionPtr revIDLastSave="0" documentId="8_{3BE5FEB6-913C-4C3C-99EA-34498F7AB0A9}" xr6:coauthVersionLast="47" xr6:coauthVersionMax="47" xr10:uidLastSave="{00000000-0000-0000-0000-000000000000}"/>
  <bookViews>
    <workbookView xWindow="-120" yWindow="-120" windowWidth="38640" windowHeight="21120" xr2:uid="{79D99663-2CC9-4770-BA6A-137007431E2E}"/>
  </bookViews>
  <sheets>
    <sheet name="Q2 SOUTH REGION " sheetId="13" r:id="rId1"/>
  </sheets>
  <definedNames>
    <definedName name="ExternalData_1" localSheetId="0" hidden="1">'Q2 SOUTH REGION '!$A$1:$D$11</definedName>
    <definedName name="ExternalData_2" localSheetId="0" hidden="1">'Q2 SOUTH REGION '!$A$13:$D$23</definedName>
    <definedName name="ExternalData_3" localSheetId="0" hidden="1">'Q2 SOUTH REGION '!$G$1:$I$11</definedName>
  </definedNames>
  <calcPr calcId="0"/>
  <pivotCaches>
    <pivotCache cacheId="42" r:id="rId2"/>
    <pivotCache cacheId="47" r:id="rId3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AC7C03A-5B31-409F-AA42-3AD7370B4813}" keepAlive="1" name="Query - 2024salesdata" description="Connection to the '2024salesdata' query in the workbook." type="5" refreshedVersion="0" background="1">
    <dbPr connection="Provider=Microsoft.Mashup.OleDb.1;Data Source=$Workbook$;Location=2024salesdata;Extended Properties=&quot;&quot;" command="SELECT * FROM [2024salesdata]"/>
  </connection>
  <connection id="2" xr16:uid="{D8BFBBA6-0318-475B-8E04-3F0EFC2CB2B8}" keepAlive="1" name="Query - 2024salesdata (2)" description="Connection to the '2024salesdata (2)' query in the workbook." type="5" refreshedVersion="0" background="1">
    <dbPr connection="Provider=Microsoft.Mashup.OleDb.1;Data Source=$Workbook$;Location=&quot;2024salesdata (2)&quot;;Extended Properties=&quot;&quot;" command="SELECT * FROM [2024salesdata (2)]"/>
  </connection>
  <connection id="3" xr16:uid="{A6384145-7BFB-42A5-90ED-909F670092B3}" keepAlive="1" name="Query - 2024salesdata (3)" description="Connection to the '2024salesdata (3)' query in the workbook." type="5" refreshedVersion="0" background="1">
    <dbPr connection="Provider=Microsoft.Mashup.OleDb.1;Data Source=$Workbook$;Location=&quot;2024salesdata (3)&quot;;Extended Properties=&quot;&quot;" command="SELECT * FROM [2024salesdata (3)]"/>
  </connection>
  <connection id="4" xr16:uid="{B83C115D-78F7-4240-8ECB-64DAE8378D10}" keepAlive="1" name="Query - 2024salesdata (4)" description="Connection to the '2024salesdata (4)' query in the workbook." type="5" refreshedVersion="0" background="1">
    <dbPr connection="Provider=Microsoft.Mashup.OleDb.1;Data Source=$Workbook$;Location=&quot;2024salesdata (4)&quot;;Extended Properties=&quot;&quot;" command="SELECT * FROM [2024salesdata (4)]"/>
  </connection>
  <connection id="5" xr16:uid="{179E4493-6B65-42DE-94B5-7C11DCBCF141}" keepAlive="1" name="Query - 2024salesdata (5)" description="Connection to the '2024salesdata (5)' query in the workbook." type="5" refreshedVersion="0" background="1">
    <dbPr connection="Provider=Microsoft.Mashup.OleDb.1;Data Source=$Workbook$;Location=&quot;2024salesdata (5)&quot;;Extended Properties=&quot;&quot;" command="SELECT * FROM [2024salesdata (5)]"/>
  </connection>
  <connection id="6" xr16:uid="{7901752E-72D3-4A68-A638-C8AB137EC740}" keepAlive="1" name="Query - 2024salesdata (6)" description="Connection to the '2024salesdata (6)' query in the workbook." type="5" refreshedVersion="8" background="1" saveData="1">
    <dbPr connection="Provider=Microsoft.Mashup.OleDb.1;Data Source=$Workbook$;Location=&quot;2024salesdata (6)&quot;;Extended Properties=&quot;&quot;" command="SELECT * FROM [2024salesdata (6)]"/>
  </connection>
  <connection id="7" xr16:uid="{631CD5D4-5C6A-4342-B586-B3169AD36EE3}" keepAlive="1" name="Query - 2025sales" description="Connection to the '2025sales' query in the workbook." type="5" refreshedVersion="0" background="1">
    <dbPr connection="Provider=Microsoft.Mashup.OleDb.1;Data Source=$Workbook$;Location=2025sales;Extended Properties=&quot;&quot;" command="SELECT * FROM [2025sales]"/>
  </connection>
  <connection id="8" xr16:uid="{9232B3EC-409C-4FC5-8933-3FB5A93CF74D}" keepAlive="1" name="Query - 2025sales (2)" description="Connection to the '2025sales (2)' query in the workbook." type="5" refreshedVersion="8" background="1" saveData="1">
    <dbPr connection="Provider=Microsoft.Mashup.OleDb.1;Data Source=$Workbook$;Location=&quot;2025sales (2)&quot;;Extended Properties=&quot;&quot;" command="SELECT * FROM [2025sales (2)]"/>
  </connection>
  <connection id="9" xr16:uid="{B8BCF10B-84CF-4AD7-A43C-DF20F0DA14C4}" keepAlive="1" name="Query - 2025topquantity" description="Connection to the '2025topquantity' query in the workbook." type="5" refreshedVersion="0" background="1">
    <dbPr connection="Provider=Microsoft.Mashup.OleDb.1;Data Source=$Workbook$;Location=2025topquantity;Extended Properties=&quot;&quot;" command="SELECT * FROM [2025topquantity]"/>
  </connection>
  <connection id="10" xr16:uid="{B11DB505-4489-4D2A-A583-942A4969DAC2}" keepAlive="1" name="Query - 2025topquantity (2)" description="Connection to the '2025topquantity (2)' query in the workbook." type="5" refreshedVersion="0" background="1">
    <dbPr connection="Provider=Microsoft.Mashup.OleDb.1;Data Source=$Workbook$;Location=&quot;2025topquantity (2)&quot;;Extended Properties=&quot;&quot;" command="SELECT * FROM [2025topquantity (2)]"/>
  </connection>
  <connection id="11" xr16:uid="{63E5B172-A788-406F-8F62-0B5151E49274}" keepAlive="1" name="Query - 2025topquantity (3)" description="Connection to the '2025topquantity (3)' query in the workbook." type="5" refreshedVersion="0" background="1">
    <dbPr connection="Provider=Microsoft.Mashup.OleDb.1;Data Source=$Workbook$;Location=&quot;2025topquantity (3)&quot;;Extended Properties=&quot;&quot;" command="SELECT * FROM [2025topquantity (3)]"/>
  </connection>
  <connection id="12" xr16:uid="{ACEB7195-AABE-4779-AC61-0EA30908093F}" keepAlive="1" name="Query - 2025topquantity (4)" description="Connection to the '2025topquantity (4)' query in the workbook." type="5" refreshedVersion="8" background="1" saveData="1">
    <dbPr connection="Provider=Microsoft.Mashup.OleDb.1;Data Source=$Workbook$;Location=&quot;2025topquantity (4)&quot;;Extended Properties=&quot;&quot;" command="SELECT * FROM [2025topquantity (4)]"/>
  </connection>
  <connection id="13" xr16:uid="{748569C7-5FE5-4881-B674-BF4C5A3ACDB7}" keepAlive="1" name="Query - excelchartupdated2" description="Connection to the 'excelchartupdated2' query in the workbook." type="5" refreshedVersion="8" background="1" saveData="1">
    <dbPr connection="Provider=Microsoft.Mashup.OleDb.1;Data Source=$Workbook$;Location=excelchartupdated2;Extended Properties=&quot;&quot;" command="SELECT * FROM [excelchartupdated2]"/>
  </connection>
  <connection id="14" xr16:uid="{F4E65F6B-5D64-4724-944B-37DC5DF040C3}" keepAlive="1" name="Query - excelchartupdated3" description="Connection to the 'excelchartupdated3' query in the workbook." type="5" refreshedVersion="0" background="1">
    <dbPr connection="Provider=Microsoft.Mashup.OleDb.1;Data Source=$Workbook$;Location=excelchartupdated3;Extended Properties=&quot;&quot;" command="SELECT * FROM [excelchartupdated3]"/>
  </connection>
</connections>
</file>

<file path=xl/sharedStrings.xml><?xml version="1.0" encoding="utf-8"?>
<sst xmlns="http://schemas.openxmlformats.org/spreadsheetml/2006/main" count="61" uniqueCount="35">
  <si>
    <t>SalesYear</t>
  </si>
  <si>
    <t>Product</t>
  </si>
  <si>
    <t>QuantitySold</t>
  </si>
  <si>
    <t>TotalRevenue</t>
  </si>
  <si>
    <t>Apple MacBook Pro (M2, 14-inch)</t>
  </si>
  <si>
    <t>LG Gram 17</t>
  </si>
  <si>
    <t>Microsoft Surface Pro 9</t>
  </si>
  <si>
    <t>HP Pavilion 14</t>
  </si>
  <si>
    <t>Acer Chromebook Spin 713</t>
  </si>
  <si>
    <t>Teclast T40 Pro</t>
  </si>
  <si>
    <t>HP Spectre x360</t>
  </si>
  <si>
    <t>MSI Creator Z16</t>
  </si>
  <si>
    <t>Apple iPad Air (10.9-inch)</t>
  </si>
  <si>
    <t>Dell Latitude 7320 Detachable</t>
  </si>
  <si>
    <t>Samsung Galaxy Tab S9 Ultra</t>
  </si>
  <si>
    <t>Slack Premium</t>
  </si>
  <si>
    <t>Dell Inspiron 15</t>
  </si>
  <si>
    <t>Microsoft Surface Laptop 5</t>
  </si>
  <si>
    <t>LTCA Year Up Coffee Mug (Ceramic, White)</t>
  </si>
  <si>
    <t>Canson XL Mixed Media Sketchbook (9x12 inches)</t>
  </si>
  <si>
    <t>TCL NXTPAPER 10s</t>
  </si>
  <si>
    <t>LTCA Year Up Performance Dri-Fit T-Shirt (Blue)</t>
  </si>
  <si>
    <t>Heavy-Duty Hole Punch (3 Hole)</t>
  </si>
  <si>
    <t>Pendaflex Hanging File Folders (Assorted Colors, Pack of 25)</t>
  </si>
  <si>
    <t>Day Designer Daily Planner (Undated)</t>
  </si>
  <si>
    <t>LTCA Year Up Full-Zip Hoodie (Black)</t>
  </si>
  <si>
    <t>LTCA Year Up Mouse Pad (Black)</t>
  </si>
  <si>
    <t>Scotch Double-Sided Tape (Pack of 2)</t>
  </si>
  <si>
    <t>Row Labels</t>
  </si>
  <si>
    <t>Grand Total</t>
  </si>
  <si>
    <t>Sum of TotalRevenue</t>
  </si>
  <si>
    <t>(All)</t>
  </si>
  <si>
    <t>Chromebook Pixelbook Go</t>
  </si>
  <si>
    <t>Lenovo ThinkPad X1 Carbon</t>
  </si>
  <si>
    <t>Asus ZenBook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</si>
</sst>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2.xml"/><Relationship Id="rId7" Type="http://schemas.openxmlformats.org/officeDocument/2006/relationships/sharedStrings" Target="sharedStrings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[martineza_territory_chart.xlsx]Q2 SOUTH REGION !PivotTable13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Q2 TOP SALES</a:t>
            </a:r>
            <a:br>
              <a:rPr lang="en-US"/>
            </a:br>
            <a:r>
              <a:rPr lang="en-US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diamond"/>
          <c:size val="5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4150789769807988"/>
          <c:y val="0.2397097163269282"/>
          <c:w val="0.64162632701779154"/>
          <c:h val="0.7457778140906937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'Q2 SOUTH REGION '!$I$23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'Q2 SOUTH REGION '!$H$24:$H$29</c:f>
              <c:strCache>
                <c:ptCount val="5"/>
                <c:pt idx="0">
                  <c:v>Acer Chromebook Spin 713</c:v>
                </c:pt>
                <c:pt idx="1">
                  <c:v>HP Pavilion 14</c:v>
                </c:pt>
                <c:pt idx="2">
                  <c:v>Microsoft Surface Pro 9</c:v>
                </c:pt>
                <c:pt idx="3">
                  <c:v>LG Gram 17</c:v>
                </c:pt>
                <c:pt idx="4">
                  <c:v>Apple MacBook Pro (M2, 14-inch)</c:v>
                </c:pt>
              </c:strCache>
            </c:strRef>
          </c:cat>
          <c:val>
            <c:numRef>
              <c:f>'Q2 SOUTH REGION '!$I$24:$I$29</c:f>
              <c:numCache>
                <c:formatCode>General</c:formatCode>
                <c:ptCount val="5"/>
                <c:pt idx="0">
                  <c:v>2588.6</c:v>
                </c:pt>
                <c:pt idx="1">
                  <c:v>2603.7600000000002</c:v>
                </c:pt>
                <c:pt idx="2">
                  <c:v>3260</c:v>
                </c:pt>
                <c:pt idx="3">
                  <c:v>5505.76</c:v>
                </c:pt>
                <c:pt idx="4">
                  <c:v>6870.8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50-4342-97B4-FA636D7A06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80"/>
        <c:axId val="810887264"/>
        <c:axId val="810881984"/>
      </c:barChart>
      <c:catAx>
        <c:axId val="81088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881984"/>
        <c:crosses val="autoZero"/>
        <c:auto val="1"/>
        <c:lblAlgn val="ctr"/>
        <c:lblOffset val="100"/>
        <c:noMultiLvlLbl val="0"/>
      </c:catAx>
      <c:valAx>
        <c:axId val="8108819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1088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[martineza_territory_chart.xlsx]Q2 SOUTH REGION !PivotTable14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Q2 TOP SALES</a:t>
            </a:r>
            <a:br>
              <a:rPr lang="en-US" sz="1600"/>
            </a:br>
            <a:r>
              <a:rPr lang="en-US" sz="1600"/>
              <a:t>2024</a:t>
            </a:r>
          </a:p>
        </c:rich>
      </c:tx>
      <c:layout>
        <c:manualLayout>
          <c:xMode val="edge"/>
          <c:yMode val="edge"/>
          <c:x val="0.45807098417347403"/>
          <c:y val="3.36486172870054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9525" cap="flat" cmpd="sng" algn="ctr">
            <a:noFill/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circle"/>
          <c:size val="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'Q2 SOUTH REGION '!$K$40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w="9525" cap="flat" cmpd="sng" algn="ctr">
              <a:noFill/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'Q2 SOUTH REGION '!$J$41:$J$46</c:f>
              <c:strCache>
                <c:ptCount val="5"/>
                <c:pt idx="0">
                  <c:v>Samsung Galaxy Tab S9 Ultra</c:v>
                </c:pt>
                <c:pt idx="1">
                  <c:v>Dell Latitude 7320 Detachable</c:v>
                </c:pt>
                <c:pt idx="2">
                  <c:v>Apple MacBook Pro (M2, 14-inch)</c:v>
                </c:pt>
                <c:pt idx="3">
                  <c:v>Teclast T40 Pro</c:v>
                </c:pt>
                <c:pt idx="4">
                  <c:v>MSI Creator Z16</c:v>
                </c:pt>
              </c:strCache>
            </c:strRef>
          </c:cat>
          <c:val>
            <c:numRef>
              <c:f>'Q2 SOUTH REGION '!$K$41:$K$46</c:f>
              <c:numCache>
                <c:formatCode>General</c:formatCode>
                <c:ptCount val="5"/>
                <c:pt idx="0">
                  <c:v>1430</c:v>
                </c:pt>
                <c:pt idx="1">
                  <c:v>1705.88</c:v>
                </c:pt>
                <c:pt idx="2">
                  <c:v>1717.7</c:v>
                </c:pt>
                <c:pt idx="3">
                  <c:v>2795.2</c:v>
                </c:pt>
                <c:pt idx="4">
                  <c:v>3527.4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08-4319-B14D-B4B8D24A10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80"/>
        <c:axId val="549138240"/>
        <c:axId val="549138720"/>
      </c:barChart>
      <c:catAx>
        <c:axId val="5491382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9138720"/>
        <c:crosses val="autoZero"/>
        <c:auto val="1"/>
        <c:lblAlgn val="ctr"/>
        <c:lblOffset val="100"/>
        <c:noMultiLvlLbl val="0"/>
      </c:catAx>
      <c:valAx>
        <c:axId val="54913872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49138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Q2 TOP PRODUCTS </a:t>
            </a:r>
            <a:br>
              <a:rPr lang="en-US"/>
            </a:br>
            <a:r>
              <a:rPr lang="en-US"/>
              <a:t>2025</a:t>
            </a:r>
          </a:p>
        </c:rich>
      </c:tx>
      <c:layout>
        <c:manualLayout>
          <c:xMode val="edge"/>
          <c:yMode val="edge"/>
          <c:x val="0.42166757967215784"/>
          <c:y val="4.08460977388767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'Q2 SOUTH REGION '!$H$1</c:f>
              <c:strCache>
                <c:ptCount val="1"/>
                <c:pt idx="0">
                  <c:v>QuantitySold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2"/>
              <c:layout>
                <c:manualLayout>
                  <c:x val="1.9312902832235447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2EC-4CF6-A638-058E4C830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'Q2 SOUTH REGION '!$G$2:$G$11</c:f>
              <c:strCache>
                <c:ptCount val="5"/>
                <c:pt idx="0">
                  <c:v>Canson XL Mixed Media Sketchbook (9x12 inches)</c:v>
                </c:pt>
                <c:pt idx="1">
                  <c:v>LTCA Year Up Coffee Mug (Ceramic, White)</c:v>
                </c:pt>
                <c:pt idx="2">
                  <c:v>TCL NXTPAPER 10s</c:v>
                </c:pt>
                <c:pt idx="3">
                  <c:v>Day Designer Daily Planner (Undated)</c:v>
                </c:pt>
                <c:pt idx="4">
                  <c:v>Heavy-Duty Hole Punch (3 Hole)</c:v>
                </c:pt>
              </c:strCache>
            </c:strRef>
          </c:cat>
          <c:val>
            <c:numRef>
              <c:f>'Q2 SOUTH REGION '!$H$2:$H$11</c:f>
              <c:numCache>
                <c:formatCode>General</c:formatCode>
                <c:ptCount val="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EC-4CF6-A638-058E4C8304EC}"/>
            </c:ext>
          </c:extLst>
        </c:ser>
        <c:ser>
          <c:idx val="1"/>
          <c:order val="1"/>
          <c:tx>
            <c:strRef>
              <c:f>'Q2 SOUTH REGION '!$I$1</c:f>
              <c:strCache>
                <c:ptCount val="1"/>
                <c:pt idx="0">
                  <c:v>TotalRevenue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&quot;$&quot;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'Q2 SOUTH REGION '!$G$2:$G$11</c:f>
              <c:strCache>
                <c:ptCount val="5"/>
                <c:pt idx="0">
                  <c:v>Canson XL Mixed Media Sketchbook (9x12 inches)</c:v>
                </c:pt>
                <c:pt idx="1">
                  <c:v>LTCA Year Up Coffee Mug (Ceramic, White)</c:v>
                </c:pt>
                <c:pt idx="2">
                  <c:v>TCL NXTPAPER 10s</c:v>
                </c:pt>
                <c:pt idx="3">
                  <c:v>Day Designer Daily Planner (Undated)</c:v>
                </c:pt>
                <c:pt idx="4">
                  <c:v>Heavy-Duty Hole Punch (3 Hole)</c:v>
                </c:pt>
              </c:strCache>
            </c:strRef>
          </c:cat>
          <c:val>
            <c:numRef>
              <c:f>'Q2 SOUTH REGION '!$I$2:$I$11</c:f>
              <c:numCache>
                <c:formatCode>General</c:formatCode>
                <c:ptCount val="5"/>
                <c:pt idx="0">
                  <c:v>50.5</c:v>
                </c:pt>
                <c:pt idx="1">
                  <c:v>60.6</c:v>
                </c:pt>
                <c:pt idx="2">
                  <c:v>4417.3999999999996</c:v>
                </c:pt>
                <c:pt idx="3">
                  <c:v>20.96</c:v>
                </c:pt>
                <c:pt idx="4">
                  <c:v>52.52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EC-4CF6-A638-058E4C830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3333120"/>
        <c:axId val="33330720"/>
      </c:barChart>
      <c:valAx>
        <c:axId val="33330720"/>
        <c:scaling>
          <c:orientation val="minMax"/>
        </c:scaling>
        <c:delete val="1"/>
        <c:axPos val="b"/>
        <c:numFmt formatCode="0%" sourceLinked="0"/>
        <c:majorTickMark val="none"/>
        <c:minorTickMark val="none"/>
        <c:tickLblPos val="nextTo"/>
        <c:crossAx val="33333120"/>
        <c:crossBetween val="between"/>
      </c:valAx>
      <c:catAx>
        <c:axId val="333331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330720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9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dk1">
                <a:lumMod val="65000"/>
                <a:lumOff val="35000"/>
              </a:schemeClr>
            </a:gs>
            <a:gs pos="100000">
              <a:schemeClr val="dk1">
                <a:lumMod val="75000"/>
                <a:lumOff val="25000"/>
              </a:schemeClr>
            </a:gs>
          </a:gsLst>
          <a:lin ang="10800000" scaled="0"/>
        </a:gradFill>
        <a:round/>
      </a:ln>
      <a:effectLst/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681037</xdr:colOff>
      <xdr:row>12</xdr:row>
      <xdr:rowOff>109537</xdr:rowOff>
    </xdr:from>
    <xdr:to>
      <xdr:col>9</xdr:col>
      <xdr:colOff>381000</xdr:colOff>
      <xdr:row>30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A7C3EA-3A68-C5BB-468E-67B8872DB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800101</xdr:colOff>
      <xdr:row>32</xdr:row>
      <xdr:rowOff>23811</xdr:rowOff>
    </xdr:from>
    <xdr:to>
      <xdr:col>6</xdr:col>
      <xdr:colOff>1724025</xdr:colOff>
      <xdr:row>51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C3906B-8DD4-BE86-491B-7A4054A32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3300410</xdr:colOff>
      <xdr:row>32</xdr:row>
      <xdr:rowOff>38099</xdr:rowOff>
    </xdr:from>
    <xdr:to>
      <xdr:col>13</xdr:col>
      <xdr:colOff>142874</xdr:colOff>
      <xdr:row>55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0AF7E3-2F9E-CE8F-1207-7701585340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42.90024328704" createdVersion="8" refreshedVersion="8" minRefreshableVersion="3" recordCount="10" xr:uid="{B0016261-0B49-458A-AA0D-96D6046A77A1}">
  <cacheSource type="worksheet">
    <worksheetSource name="_2025sales__2"/>
  </cacheSource>
  <cacheFields count="4">
    <cacheField name="SalesYear" numFmtId="0">
      <sharedItems containsSemiMixedTypes="0" containsString="0" containsNumber="1" containsInteger="1" minValue="2025" maxValue="2025" count="1">
        <n v="2025"/>
      </sharedItems>
    </cacheField>
    <cacheField name="Product" numFmtId="0">
      <sharedItems count="10">
        <s v="Apple MacBook Pro (M2, 14-inch)"/>
        <s v="LG Gram 17"/>
        <s v="Microsoft Surface Pro 9"/>
        <s v="HP Pavilion 14"/>
        <s v="Acer Chromebook Spin 713"/>
        <s v="Chromebook Pixelbook Go"/>
        <s v="Lenovo ThinkPad X1 Carbon"/>
        <s v="HP Spectre x360"/>
        <s v="Asus ZenBook 14"/>
        <s v="MSI Creator Z16"/>
      </sharedItems>
    </cacheField>
    <cacheField name="QuantitySold" numFmtId="0">
      <sharedItems containsSemiMixedTypes="0" containsString="0" containsNumber="1" containsInteger="1" minValue="1" maxValue="4"/>
    </cacheField>
    <cacheField name="TotalRevenue" numFmtId="0">
      <sharedItems containsSemiMixedTypes="0" containsString="0" containsNumber="1" minValue="1763.7" maxValue="6870.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42.904710648145" createdVersion="8" refreshedVersion="8" minRefreshableVersion="3" recordCount="10" xr:uid="{98983304-715F-495F-BB4C-3EB2E4D90A26}">
  <cacheSource type="worksheet">
    <worksheetSource name="_2024salesdata__6"/>
  </cacheSource>
  <cacheFields count="4">
    <cacheField name="SalesYear" numFmtId="0">
      <sharedItems containsSemiMixedTypes="0" containsString="0" containsNumber="1" containsInteger="1" minValue="2024" maxValue="2024" count="1">
        <n v="2024"/>
      </sharedItems>
    </cacheField>
    <cacheField name="Product" numFmtId="0">
      <sharedItems count="10">
        <s v="MSI Creator Z16"/>
        <s v="Teclast T40 Pro"/>
        <s v="Apple MacBook Pro (M2, 14-inch)"/>
        <s v="Dell Latitude 7320 Detachable"/>
        <s v="Samsung Galaxy Tab S9 Ultra"/>
        <s v="Apple iPad Air (10.9-inch)"/>
        <s v="LG Gram 17"/>
        <s v="Slack Premium"/>
        <s v="Dell Inspiron 15"/>
        <s v="Microsoft Surface Laptop 5"/>
      </sharedItems>
    </cacheField>
    <cacheField name="QuantitySold" numFmtId="0">
      <sharedItems containsSemiMixedTypes="0" containsString="0" containsNumber="1" containsInteger="1" minValue="1" maxValue="4"/>
    </cacheField>
    <cacheField name="TotalRevenue" numFmtId="0">
      <sharedItems containsSemiMixedTypes="0" containsString="0" containsNumber="1" minValue="1257.1199999999999" maxValue="3527.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n v="4"/>
    <n v="6870.8"/>
  </r>
  <r>
    <x v="0"/>
    <x v="1"/>
    <n v="4"/>
    <n v="5505.76"/>
  </r>
  <r>
    <x v="0"/>
    <x v="2"/>
    <n v="4"/>
    <n v="3260"/>
  </r>
  <r>
    <x v="0"/>
    <x v="3"/>
    <n v="2"/>
    <n v="2603.7600000000002"/>
  </r>
  <r>
    <x v="0"/>
    <x v="4"/>
    <n v="2"/>
    <n v="2588.6"/>
  </r>
  <r>
    <x v="0"/>
    <x v="5"/>
    <n v="2"/>
    <n v="2583.42"/>
  </r>
  <r>
    <x v="0"/>
    <x v="6"/>
    <n v="2"/>
    <n v="2514.2399999999998"/>
  </r>
  <r>
    <x v="0"/>
    <x v="7"/>
    <n v="2"/>
    <n v="2501.92"/>
  </r>
  <r>
    <x v="0"/>
    <x v="8"/>
    <n v="2"/>
    <n v="1922.28"/>
  </r>
  <r>
    <x v="0"/>
    <x v="9"/>
    <n v="1"/>
    <n v="1763.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n v="2"/>
    <n v="3527.4"/>
  </r>
  <r>
    <x v="0"/>
    <x v="1"/>
    <n v="4"/>
    <n v="2795.2"/>
  </r>
  <r>
    <x v="0"/>
    <x v="2"/>
    <n v="1"/>
    <n v="1717.7"/>
  </r>
  <r>
    <x v="0"/>
    <x v="3"/>
    <n v="2"/>
    <n v="1705.88"/>
  </r>
  <r>
    <x v="0"/>
    <x v="4"/>
    <n v="2"/>
    <n v="1430"/>
  </r>
  <r>
    <x v="0"/>
    <x v="5"/>
    <n v="2"/>
    <n v="1403.76"/>
  </r>
  <r>
    <x v="0"/>
    <x v="6"/>
    <n v="1"/>
    <n v="1376.44"/>
  </r>
  <r>
    <x v="0"/>
    <x v="7"/>
    <n v="4"/>
    <n v="1375.88"/>
  </r>
  <r>
    <x v="0"/>
    <x v="8"/>
    <n v="1"/>
    <n v="1317.7"/>
  </r>
  <r>
    <x v="0"/>
    <x v="9"/>
    <n v="1"/>
    <n v="1257.119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C078F2-0A42-47CC-BCD9-971A002F0428}" name="PivotTable14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J40:K46" firstHeaderRow="1" firstDataRow="1" firstDataCol="1" rowPageCount="1" colPageCount="1"/>
  <pivotFields count="4">
    <pivotField axis="axisPage" showAll="0">
      <items count="2">
        <item x="0"/>
        <item t="default"/>
      </items>
    </pivotField>
    <pivotField axis="axisRow" showAll="0" measureFilter="1" sortType="ascending">
      <items count="11">
        <item x="5"/>
        <item x="2"/>
        <item x="8"/>
        <item x="3"/>
        <item x="6"/>
        <item x="9"/>
        <item x="0"/>
        <item x="4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1"/>
  </rowFields>
  <rowItems count="6">
    <i>
      <x v="7"/>
    </i>
    <i>
      <x v="3"/>
    </i>
    <i>
      <x v="1"/>
    </i>
    <i>
      <x v="9"/>
    </i>
    <i>
      <x v="6"/>
    </i>
    <i t="grand">
      <x/>
    </i>
  </rowItems>
  <colItems count="1">
    <i/>
  </colItems>
  <pageFields count="1">
    <pageField fld="0" hier="-1"/>
  </pageFields>
  <dataFields count="1">
    <dataField name="Sum of TotalRevenue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22A68-D9D7-496B-83D7-E68A48672B98}" name="PivotTable13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9">
  <location ref="H23:I29" firstHeaderRow="1" firstDataRow="1" firstDataCol="1" rowPageCount="1" colPageCount="1"/>
  <pivotFields count="4">
    <pivotField axis="axisPage" showAll="0">
      <items count="2">
        <item x="0"/>
        <item t="default"/>
      </items>
    </pivotField>
    <pivotField axis="axisRow" showAll="0" measureFilter="1" sortType="ascending">
      <items count="11">
        <item x="9"/>
        <item x="2"/>
        <item x="1"/>
        <item x="6"/>
        <item x="7"/>
        <item x="3"/>
        <item x="5"/>
        <item x="8"/>
        <item x="0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1"/>
  </rowFields>
  <rowItems count="6">
    <i>
      <x v="9"/>
    </i>
    <i>
      <x v="5"/>
    </i>
    <i>
      <x v="1"/>
    </i>
    <i>
      <x v="2"/>
    </i>
    <i>
      <x v="8"/>
    </i>
    <i t="grand">
      <x/>
    </i>
  </rowItems>
  <colItems count="1">
    <i/>
  </colItems>
  <pageFields count="1">
    <pageField fld="0" hier="-1"/>
  </pageFields>
  <dataFields count="1">
    <dataField name="Sum of TotalRevenue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A5B4C5F4-CED9-4829-A81B-859993687D98}" autoFormatId="16" applyNumberFormats="0" applyBorderFormats="0" applyFontFormats="0" applyPatternFormats="0" applyAlignmentFormats="0" applyWidthHeightFormats="0">
  <queryTableRefresh nextId="5">
    <queryTableFields count="4">
      <queryTableField id="1" name="SalesYear" tableColumnId="1"/>
      <queryTableField id="2" name="Product" tableColumnId="2"/>
      <queryTableField id="3" name="QuantitySold" tableColumnId="3"/>
      <queryTableField id="4" name="TotalRevenue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C0CE16B5-8C0D-4C68-A207-EFFCA7EADCD6}" autoFormatId="16" applyNumberFormats="0" applyBorderFormats="0" applyFontFormats="0" applyPatternFormats="0" applyAlignmentFormats="0" applyWidthHeightFormats="0">
  <queryTableRefresh nextId="5">
    <queryTableFields count="4">
      <queryTableField id="1" name="SalesYear" tableColumnId="1"/>
      <queryTableField id="2" name="Product" tableColumnId="2"/>
      <queryTableField id="3" name="QuantitySold" tableColumnId="3"/>
      <queryTableField id="4" name="TotalRevenue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1D724A75-8732-438F-BACD-2A9AD08B47FC}" autoFormatId="16" applyNumberFormats="0" applyBorderFormats="0" applyFontFormats="0" applyPatternFormats="0" applyAlignmentFormats="0" applyWidthHeightFormats="0">
  <queryTableRefresh nextId="4">
    <queryTableFields count="3">
      <queryTableField id="1" name="Product" tableColumnId="1"/>
      <queryTableField id="2" name="QuantitySold" tableColumnId="2"/>
      <queryTableField id="3" name="TotalRevenu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138838D-AC28-430F-988D-B7E4D106E96B}" name="_2025sales__2" displayName="_2025sales__2" ref="A1:D11" tableType="queryTable" totalsRowShown="0">
  <autoFilter ref="A1:D11" xr:uid="{D138838D-AC28-430F-988D-B7E4D106E96B}"/>
  <tableColumns count="4">
    <tableColumn id="1" xr3:uid="{E9EFA9C7-152B-4D20-B320-36A99CB6E76D}" uniqueName="1" name="SalesYear" queryTableFieldId="1"/>
    <tableColumn id="2" xr3:uid="{2CDE75E4-82D4-4452-8BF3-1D3EC77F944B}" uniqueName="2" name="Product" queryTableFieldId="2" dataDxfId="2"/>
    <tableColumn id="3" xr3:uid="{B263D6A8-FDA5-401F-9F34-5F8C78CE3DE6}" uniqueName="3" name="QuantitySold" queryTableFieldId="3"/>
    <tableColumn id="4" xr3:uid="{C52A7E6B-9B05-4753-AC93-F6D74172481C}" uniqueName="4" name="TotalRevenue" queryTableField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E6EF256-3BA6-4448-9C07-3CB6E82A1C67}" name="_2024salesdata__6" displayName="_2024salesdata__6" ref="A13:D23" tableType="queryTable" totalsRowShown="0">
  <autoFilter ref="A13:D23" xr:uid="{1E6EF256-3BA6-4448-9C07-3CB6E82A1C67}"/>
  <tableColumns count="4">
    <tableColumn id="1" xr3:uid="{52853CFD-4A68-4F76-B51A-4D96E3F62692}" uniqueName="1" name="SalesYear" queryTableFieldId="1"/>
    <tableColumn id="2" xr3:uid="{06B795CA-EADB-4401-88BA-19A56701B779}" uniqueName="2" name="Product" queryTableFieldId="2" dataDxfId="1"/>
    <tableColumn id="3" xr3:uid="{0F5A554F-7597-41CE-A0FD-15F6DC66615A}" uniqueName="3" name="QuantitySold" queryTableFieldId="3"/>
    <tableColumn id="4" xr3:uid="{558BEE70-5AA0-452F-9E70-738546EA2121}" uniqueName="4" name="TotalRevenue" queryTableField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226199F-EFBF-4A34-A677-0D9F7A327DF9}" name="_2025topquantity__4" displayName="_2025topquantity__4" ref="G1:I11" tableType="queryTable" totalsRowShown="0">
  <autoFilter ref="G1:I11" xr:uid="{F226199F-EFBF-4A34-A677-0D9F7A327DF9}">
    <filterColumn colId="0">
      <filters>
        <filter val="Canson XL Mixed Media Sketchbook (9x12 inches)"/>
        <filter val="Day Designer Daily Planner (Undated)"/>
        <filter val="Heavy-Duty Hole Punch (3 Hole)"/>
        <filter val="LTCA Year Up Coffee Mug (Ceramic, White)"/>
        <filter val="TCL NXTPAPER 10s"/>
      </filters>
    </filterColumn>
  </autoFilter>
  <sortState xmlns:xlrd2="http://schemas.microsoft.com/office/spreadsheetml/2017/richdata2" ref="G2:I11">
    <sortCondition descending="1" ref="H2:H11"/>
  </sortState>
  <tableColumns count="3">
    <tableColumn id="1" xr3:uid="{FF0FBF92-D952-4F59-B121-115382F4CCA3}" uniqueName="1" name="Product" queryTableFieldId="1" dataDxfId="0"/>
    <tableColumn id="2" xr3:uid="{35442D48-8938-4D7E-B74A-32438C17A5B7}" uniqueName="2" name="QuantitySold" queryTableFieldId="2"/>
    <tableColumn id="3" xr3:uid="{03319078-215A-4DDF-873F-9A43D904CD32}" uniqueName="3" name="TotalRevenue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38898-B138-4F1E-9340-D615509EA8A9}">
  <dimension ref="A1:K46"/>
  <sheetViews>
    <sheetView tabSelected="1" workbookViewId="0">
      <selection activeCell="N17" sqref="N17"/>
    </sheetView>
  </sheetViews>
  <sheetFormatPr defaultRowHeight="15" x14ac:dyDescent="0.25"/>
  <cols>
    <col min="1" max="1" width="12.140625" bestFit="1" customWidth="1"/>
    <col min="2" max="2" width="30.7109375" bestFit="1" customWidth="1"/>
    <col min="3" max="3" width="15" bestFit="1" customWidth="1"/>
    <col min="4" max="4" width="15.85546875" bestFit="1" customWidth="1"/>
    <col min="7" max="7" width="55" bestFit="1" customWidth="1"/>
    <col min="8" max="8" width="30.7109375" bestFit="1" customWidth="1"/>
    <col min="9" max="9" width="20.42578125" bestFit="1" customWidth="1"/>
    <col min="10" max="10" width="30.7109375" bestFit="1" customWidth="1"/>
    <col min="11" max="11" width="20.42578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G1" t="s">
        <v>1</v>
      </c>
      <c r="H1" t="s">
        <v>2</v>
      </c>
      <c r="I1" t="s">
        <v>3</v>
      </c>
    </row>
    <row r="2" spans="1:9" x14ac:dyDescent="0.25">
      <c r="A2">
        <v>2025</v>
      </c>
      <c r="B2" s="1" t="s">
        <v>4</v>
      </c>
      <c r="C2">
        <v>4</v>
      </c>
      <c r="D2">
        <v>6870.8</v>
      </c>
      <c r="G2" s="1" t="s">
        <v>19</v>
      </c>
      <c r="H2">
        <v>5</v>
      </c>
      <c r="I2">
        <v>50.5</v>
      </c>
    </row>
    <row r="3" spans="1:9" x14ac:dyDescent="0.25">
      <c r="A3">
        <v>2025</v>
      </c>
      <c r="B3" s="1" t="s">
        <v>5</v>
      </c>
      <c r="C3">
        <v>4</v>
      </c>
      <c r="D3">
        <v>5505.76</v>
      </c>
      <c r="G3" s="1" t="s">
        <v>18</v>
      </c>
      <c r="H3">
        <v>5</v>
      </c>
      <c r="I3">
        <v>60.6</v>
      </c>
    </row>
    <row r="4" spans="1:9" x14ac:dyDescent="0.25">
      <c r="A4">
        <v>2025</v>
      </c>
      <c r="B4" s="1" t="s">
        <v>6</v>
      </c>
      <c r="C4">
        <v>4</v>
      </c>
      <c r="D4">
        <v>3260</v>
      </c>
      <c r="G4" s="1" t="s">
        <v>20</v>
      </c>
      <c r="H4">
        <v>5</v>
      </c>
      <c r="I4">
        <v>4417.3999999999996</v>
      </c>
    </row>
    <row r="5" spans="1:9" x14ac:dyDescent="0.25">
      <c r="A5">
        <v>2025</v>
      </c>
      <c r="B5" s="1" t="s">
        <v>7</v>
      </c>
      <c r="C5">
        <v>2</v>
      </c>
      <c r="D5">
        <v>2603.7600000000002</v>
      </c>
      <c r="G5" s="1" t="s">
        <v>24</v>
      </c>
      <c r="H5">
        <v>4</v>
      </c>
      <c r="I5">
        <v>20.96</v>
      </c>
    </row>
    <row r="6" spans="1:9" x14ac:dyDescent="0.25">
      <c r="A6">
        <v>2025</v>
      </c>
      <c r="B6" s="1" t="s">
        <v>8</v>
      </c>
      <c r="C6">
        <v>2</v>
      </c>
      <c r="D6">
        <v>2588.6</v>
      </c>
      <c r="G6" s="1" t="s">
        <v>22</v>
      </c>
      <c r="H6">
        <v>4</v>
      </c>
      <c r="I6">
        <v>52.52</v>
      </c>
    </row>
    <row r="7" spans="1:9" hidden="1" x14ac:dyDescent="0.25">
      <c r="A7">
        <v>2025</v>
      </c>
      <c r="B7" s="1" t="s">
        <v>32</v>
      </c>
      <c r="C7">
        <v>2</v>
      </c>
      <c r="D7">
        <v>2583.42</v>
      </c>
      <c r="G7" s="1" t="s">
        <v>25</v>
      </c>
      <c r="H7">
        <v>4</v>
      </c>
      <c r="I7">
        <v>264</v>
      </c>
    </row>
    <row r="8" spans="1:9" hidden="1" x14ac:dyDescent="0.25">
      <c r="A8">
        <v>2025</v>
      </c>
      <c r="B8" s="1" t="s">
        <v>33</v>
      </c>
      <c r="C8">
        <v>2</v>
      </c>
      <c r="D8">
        <v>2514.2399999999998</v>
      </c>
      <c r="G8" s="1" t="s">
        <v>26</v>
      </c>
      <c r="H8">
        <v>4</v>
      </c>
      <c r="I8">
        <v>48.6</v>
      </c>
    </row>
    <row r="9" spans="1:9" hidden="1" x14ac:dyDescent="0.25">
      <c r="A9">
        <v>2025</v>
      </c>
      <c r="B9" s="1" t="s">
        <v>10</v>
      </c>
      <c r="C9">
        <v>2</v>
      </c>
      <c r="D9">
        <v>2501.92</v>
      </c>
      <c r="G9" s="1" t="s">
        <v>21</v>
      </c>
      <c r="H9">
        <v>4</v>
      </c>
      <c r="I9">
        <v>209.6</v>
      </c>
    </row>
    <row r="10" spans="1:9" hidden="1" x14ac:dyDescent="0.25">
      <c r="A10">
        <v>2025</v>
      </c>
      <c r="B10" s="1" t="s">
        <v>34</v>
      </c>
      <c r="C10">
        <v>2</v>
      </c>
      <c r="D10">
        <v>1922.28</v>
      </c>
      <c r="G10" s="1" t="s">
        <v>23</v>
      </c>
      <c r="H10">
        <v>4</v>
      </c>
      <c r="I10">
        <v>70.8</v>
      </c>
    </row>
    <row r="11" spans="1:9" hidden="1" x14ac:dyDescent="0.25">
      <c r="A11">
        <v>2025</v>
      </c>
      <c r="B11" s="1" t="s">
        <v>11</v>
      </c>
      <c r="C11">
        <v>1</v>
      </c>
      <c r="D11">
        <v>1763.7</v>
      </c>
      <c r="G11" s="1" t="s">
        <v>27</v>
      </c>
      <c r="H11">
        <v>4</v>
      </c>
      <c r="I11">
        <v>37.799999999999997</v>
      </c>
    </row>
    <row r="13" spans="1:9" x14ac:dyDescent="0.25">
      <c r="A13" t="s">
        <v>0</v>
      </c>
      <c r="B13" t="s">
        <v>1</v>
      </c>
      <c r="C13" t="s">
        <v>2</v>
      </c>
      <c r="D13" t="s">
        <v>3</v>
      </c>
    </row>
    <row r="14" spans="1:9" x14ac:dyDescent="0.25">
      <c r="A14">
        <v>2024</v>
      </c>
      <c r="B14" s="1" t="s">
        <v>11</v>
      </c>
      <c r="C14">
        <v>2</v>
      </c>
      <c r="D14">
        <v>3527.4</v>
      </c>
    </row>
    <row r="15" spans="1:9" x14ac:dyDescent="0.25">
      <c r="A15">
        <v>2024</v>
      </c>
      <c r="B15" s="1" t="s">
        <v>9</v>
      </c>
      <c r="C15">
        <v>4</v>
      </c>
      <c r="D15">
        <v>2795.2</v>
      </c>
    </row>
    <row r="16" spans="1:9" x14ac:dyDescent="0.25">
      <c r="A16">
        <v>2024</v>
      </c>
      <c r="B16" s="1" t="s">
        <v>4</v>
      </c>
      <c r="C16">
        <v>1</v>
      </c>
      <c r="D16">
        <v>1717.7</v>
      </c>
    </row>
    <row r="17" spans="1:9" x14ac:dyDescent="0.25">
      <c r="A17">
        <v>2024</v>
      </c>
      <c r="B17" s="1" t="s">
        <v>13</v>
      </c>
      <c r="C17">
        <v>2</v>
      </c>
      <c r="D17">
        <v>1705.88</v>
      </c>
    </row>
    <row r="18" spans="1:9" x14ac:dyDescent="0.25">
      <c r="A18">
        <v>2024</v>
      </c>
      <c r="B18" s="1" t="s">
        <v>14</v>
      </c>
      <c r="C18">
        <v>2</v>
      </c>
      <c r="D18">
        <v>1430</v>
      </c>
    </row>
    <row r="19" spans="1:9" x14ac:dyDescent="0.25">
      <c r="A19">
        <v>2024</v>
      </c>
      <c r="B19" s="1" t="s">
        <v>12</v>
      </c>
      <c r="C19">
        <v>2</v>
      </c>
      <c r="D19">
        <v>1403.76</v>
      </c>
    </row>
    <row r="20" spans="1:9" x14ac:dyDescent="0.25">
      <c r="A20">
        <v>2024</v>
      </c>
      <c r="B20" s="1" t="s">
        <v>5</v>
      </c>
      <c r="C20">
        <v>1</v>
      </c>
      <c r="D20">
        <v>1376.44</v>
      </c>
    </row>
    <row r="21" spans="1:9" x14ac:dyDescent="0.25">
      <c r="A21">
        <v>2024</v>
      </c>
      <c r="B21" s="1" t="s">
        <v>15</v>
      </c>
      <c r="C21">
        <v>4</v>
      </c>
      <c r="D21">
        <v>1375.88</v>
      </c>
      <c r="H21" s="2" t="s">
        <v>0</v>
      </c>
      <c r="I21" t="s">
        <v>31</v>
      </c>
    </row>
    <row r="22" spans="1:9" x14ac:dyDescent="0.25">
      <c r="A22">
        <v>2024</v>
      </c>
      <c r="B22" s="1" t="s">
        <v>16</v>
      </c>
      <c r="C22">
        <v>1</v>
      </c>
      <c r="D22">
        <v>1317.7</v>
      </c>
    </row>
    <row r="23" spans="1:9" x14ac:dyDescent="0.25">
      <c r="A23">
        <v>2024</v>
      </c>
      <c r="B23" s="1" t="s">
        <v>17</v>
      </c>
      <c r="C23">
        <v>1</v>
      </c>
      <c r="D23">
        <v>1257.1199999999999</v>
      </c>
      <c r="H23" s="2" t="s">
        <v>28</v>
      </c>
      <c r="I23" t="s">
        <v>30</v>
      </c>
    </row>
    <row r="24" spans="1:9" x14ac:dyDescent="0.25">
      <c r="H24" s="3" t="s">
        <v>8</v>
      </c>
      <c r="I24" s="1">
        <v>2588.6</v>
      </c>
    </row>
    <row r="25" spans="1:9" x14ac:dyDescent="0.25">
      <c r="H25" s="3" t="s">
        <v>7</v>
      </c>
      <c r="I25" s="1">
        <v>2603.7600000000002</v>
      </c>
    </row>
    <row r="26" spans="1:9" x14ac:dyDescent="0.25">
      <c r="H26" s="3" t="s">
        <v>6</v>
      </c>
      <c r="I26" s="1">
        <v>3260</v>
      </c>
    </row>
    <row r="27" spans="1:9" x14ac:dyDescent="0.25">
      <c r="H27" s="3" t="s">
        <v>5</v>
      </c>
      <c r="I27" s="1">
        <v>5505.76</v>
      </c>
    </row>
    <row r="28" spans="1:9" x14ac:dyDescent="0.25">
      <c r="H28" s="3" t="s">
        <v>4</v>
      </c>
      <c r="I28" s="1">
        <v>6870.8</v>
      </c>
    </row>
    <row r="29" spans="1:9" x14ac:dyDescent="0.25">
      <c r="H29" s="3" t="s">
        <v>29</v>
      </c>
      <c r="I29" s="1">
        <v>20828.919999999998</v>
      </c>
    </row>
    <row r="38" spans="10:11" x14ac:dyDescent="0.25">
      <c r="J38" s="2" t="s">
        <v>0</v>
      </c>
      <c r="K38" t="s">
        <v>31</v>
      </c>
    </row>
    <row r="40" spans="10:11" x14ac:dyDescent="0.25">
      <c r="J40" s="2" t="s">
        <v>28</v>
      </c>
      <c r="K40" t="s">
        <v>30</v>
      </c>
    </row>
    <row r="41" spans="10:11" x14ac:dyDescent="0.25">
      <c r="J41" s="3" t="s">
        <v>14</v>
      </c>
      <c r="K41" s="1">
        <v>1430</v>
      </c>
    </row>
    <row r="42" spans="10:11" x14ac:dyDescent="0.25">
      <c r="J42" s="3" t="s">
        <v>13</v>
      </c>
      <c r="K42" s="1">
        <v>1705.88</v>
      </c>
    </row>
    <row r="43" spans="10:11" x14ac:dyDescent="0.25">
      <c r="J43" s="3" t="s">
        <v>4</v>
      </c>
      <c r="K43" s="1">
        <v>1717.7</v>
      </c>
    </row>
    <row r="44" spans="10:11" x14ac:dyDescent="0.25">
      <c r="J44" s="3" t="s">
        <v>9</v>
      </c>
      <c r="K44" s="1">
        <v>2795.2</v>
      </c>
    </row>
    <row r="45" spans="10:11" x14ac:dyDescent="0.25">
      <c r="J45" s="3" t="s">
        <v>11</v>
      </c>
      <c r="K45" s="1">
        <v>3527.4</v>
      </c>
    </row>
    <row r="46" spans="10:11" x14ac:dyDescent="0.25">
      <c r="J46" s="3" t="s">
        <v>29</v>
      </c>
      <c r="K46" s="1">
        <v>11176.18</v>
      </c>
    </row>
  </sheetData>
  <pageMargins left="0.7" right="0.7" top="0.75" bottom="0.75" header="0.3" footer="0.3"/>
  <drawing r:id="rId3"/>
  <tableParts count="3"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F14C53B-A68C-42F4-96F1-B8CE7DEF2D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Q2 SOUTH REGION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alondra martinez</dc:creator>
  <cp:lastModifiedBy>alondra martinez</cp:lastModifiedBy>
  <dcterms:created xsi:type="dcterms:W3CDTF">2026-05-01T03:27:24Z</dcterms:created>
  <dcterms:modified xsi:type="dcterms:W3CDTF">2026-05-01T03:27:24Z</dcterms:modified>
</cp:coreProperties>
</file>