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dramartinez\Documents\Capstone_1\"/>
    </mc:Choice>
  </mc:AlternateContent>
  <xr:revisionPtr revIDLastSave="0" documentId="8_{BD6C6433-5AF2-4BC7-BB7C-F3D48003ADD6}" xr6:coauthVersionLast="47" xr6:coauthVersionMax="47" xr10:uidLastSave="{00000000-0000-0000-0000-000000000000}"/>
  <bookViews>
    <workbookView xWindow="-120" yWindow="-120" windowWidth="38640" windowHeight="21120" activeTab="2" xr2:uid="{982A2B79-6913-41F5-B1EB-BFD009A5CBDC}"/>
  </bookViews>
  <sheets>
    <sheet name="Q2 2025" sheetId="1" r:id="rId1"/>
    <sheet name="Q2_2024" sheetId="6" r:id="rId2"/>
    <sheet name="Q2_2023" sheetId="4" r:id="rId3"/>
  </sheets>
  <calcPr calcId="0"/>
  <pivotCaches>
    <pivotCache cacheId="4" r:id="rId4"/>
    <pivotCache cacheId="20" r:id="rId5"/>
    <pivotCache cacheId="25" r:id="rId6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805200-E19F-46E3-8DF7-AAC266EF0BB7}" keepAlive="1" name="Query - excelchart2" description="Connection to the 'excelchart2' query in the workbook." type="5" refreshedVersion="8" background="1" saveData="1">
    <dbPr connection="Provider=Microsoft.Mashup.OleDb.1;Data Source=$Workbook$;Location=excelchart2;Extended Properties=&quot;&quot;" command="SELECT * FROM [excelchart2]"/>
  </connection>
  <connection id="2" xr16:uid="{3FF8F1B6-4899-4B1B-AEDC-3E5725EC7787}" keepAlive="1" name="Query - excelchart3" description="Connection to the 'excelchart3' query in the workbook." type="5" refreshedVersion="8" background="1" saveData="1">
    <dbPr connection="Provider=Microsoft.Mashup.OleDb.1;Data Source=$Workbook$;Location=excelchart3;Extended Properties=&quot;&quot;" command="SELECT * FROM [excelchart3]"/>
  </connection>
</connections>
</file>

<file path=xl/sharedStrings.xml><?xml version="1.0" encoding="utf-8"?>
<sst xmlns="http://schemas.openxmlformats.org/spreadsheetml/2006/main" count="29" uniqueCount="19">
  <si>
    <t>SalesYear</t>
  </si>
  <si>
    <t>Apple MacBook Pro (M2, 14-inch)</t>
  </si>
  <si>
    <t>Lenovo Yoga 7i</t>
  </si>
  <si>
    <t>HP Envy 15</t>
  </si>
  <si>
    <t xml:space="preserve">Microsoft Surface </t>
  </si>
  <si>
    <t>MacBook Pro</t>
  </si>
  <si>
    <t>ThinkPad X1 =</t>
  </si>
  <si>
    <t>HP Spectre x360</t>
  </si>
  <si>
    <t>Teclast T40 Pro</t>
  </si>
  <si>
    <t xml:space="preserve">MacBook Pro </t>
  </si>
  <si>
    <t xml:space="preserve">Asus ZenBook </t>
  </si>
  <si>
    <t xml:space="preserve">Teclast T40 </t>
  </si>
  <si>
    <t>HP Spectre</t>
  </si>
  <si>
    <t>MSI Creator Z16</t>
  </si>
  <si>
    <t>ASUS Vivobook 13 Slate OLED</t>
  </si>
  <si>
    <t>Row Labels</t>
  </si>
  <si>
    <t>Grand Total</t>
  </si>
  <si>
    <t>Sum of TotalRevenue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</si>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</sst>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[Martinez_territory_chart.xlsx]Q2 2025!PivotTable1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</a:t>
            </a:r>
            <a:r>
              <a:rPr lang="en-US" sz="1600" b="1" baseline="0"/>
              <a:t>C Q2 TOP SALES</a:t>
            </a:r>
            <a:br>
              <a:rPr lang="en-US" sz="1600" b="1" baseline="0"/>
            </a:br>
            <a:r>
              <a:rPr lang="en-US" sz="1600" b="1" baseline="0"/>
              <a:t>2025 </a:t>
            </a:r>
            <a:endParaRPr lang="en-US" sz="1600" b="1"/>
          </a:p>
        </c:rich>
      </c:tx>
      <c:layout>
        <c:manualLayout>
          <c:xMode val="edge"/>
          <c:yMode val="edge"/>
          <c:x val="0.41547165119084828"/>
          <c:y val="4.2717885992256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bg2">
                <a:lumMod val="90000"/>
              </a:schemeClr>
            </a:solidFill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solidFill>
              <a:schemeClr val="bg2">
                <a:lumMod val="90000"/>
              </a:schemeClr>
            </a:solidFill>
          </a:ln>
          <a:effectLst/>
        </c:spPr>
      </c:pivotFmt>
      <c:pivotFmt>
        <c:idx val="2"/>
        <c:spPr>
          <a:solidFill>
            <a:schemeClr val="bg2">
              <a:lumMod val="75000"/>
            </a:schemeClr>
          </a:solidFill>
          <a:ln>
            <a:solidFill>
              <a:schemeClr val="bg2">
                <a:lumMod val="90000"/>
              </a:schemeClr>
            </a:solidFill>
          </a:ln>
          <a:effectLst/>
        </c:spPr>
      </c:pivotFmt>
      <c:pivotFmt>
        <c:idx val="3"/>
        <c:spPr>
          <a:solidFill>
            <a:schemeClr val="bg2">
              <a:lumMod val="75000"/>
            </a:schemeClr>
          </a:solidFill>
          <a:ln>
            <a:solidFill>
              <a:schemeClr val="bg2">
                <a:lumMod val="90000"/>
              </a:schemeClr>
            </a:solidFill>
          </a:ln>
          <a:effectLst/>
        </c:spPr>
      </c:pivotFmt>
      <c:pivotFmt>
        <c:idx val="4"/>
        <c:spPr>
          <a:solidFill>
            <a:schemeClr val="bg2">
              <a:lumMod val="75000"/>
            </a:schemeClr>
          </a:solidFill>
          <a:ln>
            <a:solidFill>
              <a:schemeClr val="bg2">
                <a:lumMod val="90000"/>
              </a:schemeClr>
            </a:solidFill>
          </a:ln>
          <a:effectLst/>
        </c:spPr>
      </c:pivotFmt>
      <c:pivotFmt>
        <c:idx val="5"/>
        <c:spPr>
          <a:solidFill>
            <a:schemeClr val="accent1"/>
          </a:solidFill>
          <a:ln>
            <a:solidFill>
              <a:schemeClr val="bg2">
                <a:lumMod val="90000"/>
              </a:schemeClr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'Q2 2025'!$B$3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2">
                  <a:lumMod val="9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2">
                    <a:lumMod val="9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876-40D3-B75D-75824EE0CC64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bg2">
                    <a:lumMod val="9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76-40D3-B75D-75824EE0CC64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bg2">
                    <a:lumMod val="9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876-40D3-B75D-75824EE0CC64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bg2">
                    <a:lumMod val="9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76-40D3-B75D-75824EE0CC64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bg2">
                    <a:lumMod val="9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876-40D3-B75D-75824EE0CC64}"/>
              </c:ext>
            </c:extLst>
          </c:dPt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2025'!$A$4:$A$9</c:f>
              <c:strCache>
                <c:ptCount val="5"/>
                <c:pt idx="0">
                  <c:v>MacBook Pro</c:v>
                </c:pt>
                <c:pt idx="1">
                  <c:v>Microsoft Surface </c:v>
                </c:pt>
                <c:pt idx="2">
                  <c:v>Lenovo Yoga 7i</c:v>
                </c:pt>
                <c:pt idx="3">
                  <c:v>ThinkPad X1 =</c:v>
                </c:pt>
                <c:pt idx="4">
                  <c:v>HP Envy 15</c:v>
                </c:pt>
              </c:strCache>
            </c:strRef>
          </c:cat>
          <c:val>
            <c:numRef>
              <c:f>'Q2 2025'!$B$4:$B$9</c:f>
              <c:numCache>
                <c:formatCode>General</c:formatCode>
                <c:ptCount val="5"/>
                <c:pt idx="0">
                  <c:v>5153.1000000000004</c:v>
                </c:pt>
                <c:pt idx="1">
                  <c:v>3771.36</c:v>
                </c:pt>
                <c:pt idx="2">
                  <c:v>3771.36</c:v>
                </c:pt>
                <c:pt idx="3">
                  <c:v>3771.36</c:v>
                </c:pt>
                <c:pt idx="4">
                  <c:v>3752.88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76-40D3-B75D-75824EE0CC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1045227855"/>
        <c:axId val="1045228335"/>
      </c:barChart>
      <c:catAx>
        <c:axId val="10452278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228335"/>
        <c:crosses val="autoZero"/>
        <c:auto val="1"/>
        <c:lblAlgn val="ctr"/>
        <c:lblOffset val="100"/>
        <c:noMultiLvlLbl val="0"/>
      </c:catAx>
      <c:valAx>
        <c:axId val="1045228335"/>
        <c:scaling>
          <c:orientation val="minMax"/>
        </c:scaling>
        <c:delete val="1"/>
        <c:axPos val="b"/>
        <c:numFmt formatCode="&quot;$&quot;#,##0" sourceLinked="0"/>
        <c:majorTickMark val="none"/>
        <c:minorTickMark val="none"/>
        <c:tickLblPos val="nextTo"/>
        <c:crossAx val="1045227855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[Martinez_territory_chart.xlsx]Q2_2024!PivotTable5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SC Q2 TOP SALES</a:t>
            </a:r>
            <a:br>
              <a:rPr lang="en-US" sz="1600" b="1"/>
            </a:br>
            <a:r>
              <a:rPr lang="en-US" sz="1600" b="1"/>
              <a:t>2024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837927294351214"/>
          <c:y val="0.19091830397352511"/>
          <c:w val="0.70054863184801897"/>
          <c:h val="0.7809457088681037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Q2_2024!$B$3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Q2_2024!$A$4:$A$9</c:f>
              <c:strCache>
                <c:ptCount val="5"/>
                <c:pt idx="0">
                  <c:v>HP Spectre x360</c:v>
                </c:pt>
                <c:pt idx="1">
                  <c:v>Teclast T40 Pro</c:v>
                </c:pt>
                <c:pt idx="2">
                  <c:v>MSI Creator Z16</c:v>
                </c:pt>
                <c:pt idx="3">
                  <c:v>Apple MacBook Pro (M2, 14-inch)</c:v>
                </c:pt>
                <c:pt idx="4">
                  <c:v>ASUS Vivobook 13 Slate OLED</c:v>
                </c:pt>
              </c:strCache>
            </c:strRef>
          </c:cat>
          <c:val>
            <c:numRef>
              <c:f>Q2_2024!$B$4:$B$9</c:f>
              <c:numCache>
                <c:formatCode>General</c:formatCode>
                <c:ptCount val="5"/>
                <c:pt idx="0">
                  <c:v>3752.88</c:v>
                </c:pt>
                <c:pt idx="1">
                  <c:v>3494</c:v>
                </c:pt>
                <c:pt idx="2">
                  <c:v>1763.7</c:v>
                </c:pt>
                <c:pt idx="3">
                  <c:v>1717.7</c:v>
                </c:pt>
                <c:pt idx="4">
                  <c:v>1505.64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6-464C-8075-F168D1E482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1132655551"/>
        <c:axId val="1132653151"/>
      </c:barChart>
      <c:catAx>
        <c:axId val="113265555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653151"/>
        <c:crosses val="autoZero"/>
        <c:auto val="1"/>
        <c:lblAlgn val="ctr"/>
        <c:lblOffset val="100"/>
        <c:noMultiLvlLbl val="0"/>
      </c:catAx>
      <c:valAx>
        <c:axId val="1132653151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132655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[Martinez_territory_chart.xlsx]Q2_2023!PivotTable6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SC Q2 TOP SALES</a:t>
            </a:r>
            <a:br>
              <a:rPr lang="en-US" sz="1600" b="1"/>
            </a:br>
            <a:r>
              <a:rPr lang="en-US" sz="1600" b="1"/>
              <a:t>2023</a:t>
            </a:r>
          </a:p>
        </c:rich>
      </c:tx>
      <c:layout>
        <c:manualLayout>
          <c:xMode val="edge"/>
          <c:yMode val="edge"/>
          <c:x val="0.39223092072579463"/>
          <c:y val="4.89662803443672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Q2_2023!$B$3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2BC-41D3-A05A-7D5791D08AE7}"/>
              </c:ext>
            </c:extLst>
          </c:dPt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Q2_2023!$A$4:$A$9</c:f>
              <c:strCache>
                <c:ptCount val="5"/>
                <c:pt idx="0">
                  <c:v>HP Spectre</c:v>
                </c:pt>
                <c:pt idx="1">
                  <c:v>Teclast T40 </c:v>
                </c:pt>
                <c:pt idx="2">
                  <c:v>HP Envy 15</c:v>
                </c:pt>
                <c:pt idx="3">
                  <c:v>Asus ZenBook </c:v>
                </c:pt>
                <c:pt idx="4">
                  <c:v>MacBook Pro </c:v>
                </c:pt>
              </c:strCache>
            </c:strRef>
          </c:cat>
          <c:val>
            <c:numRef>
              <c:f>Q2_2023!$B$4:$B$9</c:f>
              <c:numCache>
                <c:formatCode>General</c:formatCode>
                <c:ptCount val="5"/>
                <c:pt idx="0">
                  <c:v>3752.88</c:v>
                </c:pt>
                <c:pt idx="1">
                  <c:v>3494</c:v>
                </c:pt>
                <c:pt idx="2">
                  <c:v>2501.92</c:v>
                </c:pt>
                <c:pt idx="3">
                  <c:v>1922.28</c:v>
                </c:pt>
                <c:pt idx="4">
                  <c:v>1717.7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C-41D3-A05A-7D5791D08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357728768"/>
        <c:axId val="1357729248"/>
      </c:barChart>
      <c:catAx>
        <c:axId val="13577287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729248"/>
        <c:crosses val="autoZero"/>
        <c:auto val="1"/>
        <c:lblAlgn val="ctr"/>
        <c:lblOffset val="100"/>
        <c:noMultiLvlLbl val="0"/>
      </c:catAx>
      <c:valAx>
        <c:axId val="1357729248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35772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104774</xdr:colOff>
      <xdr:row>14</xdr:row>
      <xdr:rowOff>38099</xdr:rowOff>
    </xdr:from>
    <xdr:to>
      <xdr:col>18</xdr:col>
      <xdr:colOff>123825</xdr:colOff>
      <xdr:row>35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6C7A5F-6246-708F-D937-8B79DBD90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566736</xdr:colOff>
      <xdr:row>15</xdr:row>
      <xdr:rowOff>52386</xdr:rowOff>
    </xdr:from>
    <xdr:to>
      <xdr:col>13</xdr:col>
      <xdr:colOff>619125</xdr:colOff>
      <xdr:row>35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567D55-E1CF-68D9-A39C-77DA36A34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304799</xdr:colOff>
      <xdr:row>15</xdr:row>
      <xdr:rowOff>85725</xdr:rowOff>
    </xdr:from>
    <xdr:to>
      <xdr:col>18</xdr:col>
      <xdr:colOff>95250</xdr:colOff>
      <xdr:row>35</xdr:row>
      <xdr:rowOff>38101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D223D-A3F3-973C-EDC9-9F0394E418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ondra martinez" refreshedDate="46142.505551041664" createdVersion="8" refreshedVersion="8" minRefreshableVersion="3" recordCount="5" xr:uid="{FB155DD3-A612-4BF1-B9BF-F8E48BBB0A1D}">
  <cacheSource type="worksheet">
    <worksheetSource name="Table2"/>
  </cacheSource>
  <cacheFields count="5">
    <cacheField name="SalesYear" numFmtId="0">
      <sharedItems containsSemiMixedTypes="0" containsString="0" containsNumber="1" containsInteger="1" minValue="2025" maxValue="2025" count="1">
        <n v="2025"/>
      </sharedItems>
    </cacheField>
    <cacheField name="Product" numFmtId="0">
      <sharedItems count="5">
        <s v="MacBook Pro"/>
        <s v="ThinkPad X1 ="/>
        <s v="Microsoft Surface "/>
        <s v="Lenovo Yoga 7i"/>
        <s v="HP Envy 15"/>
      </sharedItems>
    </cacheField>
    <cacheField name="QuantitySold" numFmtId="0">
      <sharedItems containsSemiMixedTypes="0" containsString="0" containsNumber="1" containsInteger="1" minValue="3" maxValue="3"/>
    </cacheField>
    <cacheField name="TotalRevenue" numFmtId="0">
      <sharedItems containsSemiMixedTypes="0" containsString="0" containsNumber="1" minValue="3752.88" maxValue="5153.1000000000004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ondra martinez" refreshedDate="46142.526410416664" createdVersion="8" refreshedVersion="8" minRefreshableVersion="3" recordCount="5" xr:uid="{3B0E8694-B3EE-44CF-A8C9-33F9665C0715}">
  <cacheSource type="worksheet">
    <worksheetSource name="excelchart3"/>
  </cacheSource>
  <cacheFields count="4">
    <cacheField name="SalesYear" numFmtId="0">
      <sharedItems containsSemiMixedTypes="0" containsString="0" containsNumber="1" containsInteger="1" minValue="2024" maxValue="2024" count="1">
        <n v="2024"/>
      </sharedItems>
    </cacheField>
    <cacheField name="Product" numFmtId="0">
      <sharedItems count="5">
        <s v="HP Spectre x360"/>
        <s v="Teclast T40 Pro"/>
        <s v="MSI Creator Z16"/>
        <s v="Apple MacBook Pro (M2, 14-inch)"/>
        <s v="ASUS Vivobook 13 Slate OLED"/>
      </sharedItems>
    </cacheField>
    <cacheField name="QuantitySold" numFmtId="0">
      <sharedItems containsSemiMixedTypes="0" containsString="0" containsNumber="1" containsInteger="1" minValue="1" maxValue="5" count="4">
        <n v="3"/>
        <n v="5"/>
        <n v="1"/>
        <n v="2"/>
      </sharedItems>
    </cacheField>
    <cacheField name="TotalRevenue" numFmtId="0">
      <sharedItems containsSemiMixedTypes="0" containsString="0" containsNumber="1" minValue="1505.64" maxValue="3752.88" count="5">
        <n v="3752.88"/>
        <n v="3494"/>
        <n v="1763.7"/>
        <n v="1717.7"/>
        <n v="1505.6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ondra martinez" refreshedDate="46142.536437847222" createdVersion="8" refreshedVersion="8" minRefreshableVersion="3" recordCount="5" xr:uid="{F370E0F0-343C-49E5-BBC9-2FFE3777CDE1}">
  <cacheSource type="worksheet">
    <worksheetSource name="excelchart2"/>
  </cacheSource>
  <cacheFields count="4">
    <cacheField name="SalesYear" numFmtId="0">
      <sharedItems containsSemiMixedTypes="0" containsString="0" containsNumber="1" containsInteger="1" minValue="2023" maxValue="2023" count="1">
        <n v="2023"/>
      </sharedItems>
    </cacheField>
    <cacheField name="Product" numFmtId="0">
      <sharedItems count="5">
        <s v="HP Spectre"/>
        <s v="Teclast T40 "/>
        <s v="HP Envy 15"/>
        <s v="Asus ZenBook "/>
        <s v="MacBook Pro "/>
      </sharedItems>
    </cacheField>
    <cacheField name="QuantitySold" numFmtId="0">
      <sharedItems containsSemiMixedTypes="0" containsString="0" containsNumber="1" containsInteger="1" minValue="1" maxValue="5"/>
    </cacheField>
    <cacheField name="TotalRevenue" numFmtId="0">
      <sharedItems containsSemiMixedTypes="0" containsString="0" containsNumber="1" minValue="1717.7" maxValue="3752.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3"/>
    <n v="5153.1000000000004"/>
    <m/>
  </r>
  <r>
    <x v="0"/>
    <x v="1"/>
    <n v="3"/>
    <n v="3771.36"/>
    <m/>
  </r>
  <r>
    <x v="0"/>
    <x v="2"/>
    <n v="3"/>
    <n v="3771.36"/>
    <m/>
  </r>
  <r>
    <x v="0"/>
    <x v="3"/>
    <n v="3"/>
    <n v="3771.36"/>
    <m/>
  </r>
  <r>
    <x v="0"/>
    <x v="4"/>
    <n v="3"/>
    <n v="3752.88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  <x v="0"/>
  </r>
  <r>
    <x v="0"/>
    <x v="1"/>
    <x v="1"/>
    <x v="1"/>
  </r>
  <r>
    <x v="0"/>
    <x v="2"/>
    <x v="2"/>
    <x v="2"/>
  </r>
  <r>
    <x v="0"/>
    <x v="3"/>
    <x v="2"/>
    <x v="3"/>
  </r>
  <r>
    <x v="0"/>
    <x v="4"/>
    <x v="3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3"/>
    <n v="3752.88"/>
  </r>
  <r>
    <x v="0"/>
    <x v="1"/>
    <n v="5"/>
    <n v="3494"/>
  </r>
  <r>
    <x v="0"/>
    <x v="2"/>
    <n v="2"/>
    <n v="2501.92"/>
  </r>
  <r>
    <x v="0"/>
    <x v="3"/>
    <n v="2"/>
    <n v="1922.28"/>
  </r>
  <r>
    <x v="0"/>
    <x v="4"/>
    <n v="1"/>
    <n v="1717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C09D83-2C04-4297-9F38-7A58086590E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 rowPageCount="1" colPageCount="1"/>
  <pivotFields count="5">
    <pivotField axis="axisPage" showAll="0">
      <items count="2">
        <item x="0"/>
        <item t="default"/>
      </items>
    </pivotField>
    <pivotField axis="axisRow" showAll="0" sortType="descending">
      <items count="6">
        <item x="1"/>
        <item x="2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1"/>
  </rowFields>
  <rowItems count="6">
    <i>
      <x v="2"/>
    </i>
    <i>
      <x v="1"/>
    </i>
    <i>
      <x v="3"/>
    </i>
    <i>
      <x/>
    </i>
    <i>
      <x v="4"/>
    </i>
    <i t="grand">
      <x/>
    </i>
  </rowItems>
  <colItems count="1">
    <i/>
  </colItems>
  <pageFields count="1">
    <pageField fld="0" item="0" hier="-1"/>
  </pageFields>
  <dataFields count="1">
    <dataField name="Sum of TotalRevenue" fld="3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F9E9D0-AEE1-4C11-8B14-AA7C877CF52D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 rowPageCount="1" colPageCount="1"/>
  <pivotFields count="4">
    <pivotField axis="axisPage" showAll="0">
      <items count="2">
        <item x="0"/>
        <item t="default"/>
      </items>
    </pivotField>
    <pivotField axis="axisRow" showAll="0" sortType="descending">
      <items count="6">
        <item x="1"/>
        <item x="2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2"/>
        <item x="3"/>
        <item x="0"/>
        <item x="1"/>
        <item t="default"/>
      </items>
    </pivotField>
    <pivotField dataField="1" showAll="0">
      <items count="6">
        <item x="4"/>
        <item x="3"/>
        <item x="2"/>
        <item x="1"/>
        <item x="0"/>
        <item t="default"/>
      </items>
    </pivotField>
  </pivotFields>
  <rowFields count="1">
    <field x="1"/>
  </rowFields>
  <rowItems count="6">
    <i>
      <x v="2"/>
    </i>
    <i>
      <x/>
    </i>
    <i>
      <x v="1"/>
    </i>
    <i>
      <x v="4"/>
    </i>
    <i>
      <x v="3"/>
    </i>
    <i t="grand">
      <x/>
    </i>
  </rowItems>
  <colItems count="1">
    <i/>
  </colItems>
  <pageFields count="1">
    <pageField fld="0" hier="-1"/>
  </pageFields>
  <dataFields count="1">
    <dataField name="Sum of TotalRevenue" fld="3" baseField="0" baseItem="0"/>
  </dataFields>
  <chartFormats count="2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0DB20-D718-4DD3-8E40-3FFFE1B12552}" name="PivotTable6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 rowPageCount="1" colPageCount="1"/>
  <pivotFields count="4">
    <pivotField axis="axisPage" showAll="0">
      <items count="2">
        <item x="0"/>
        <item t="default"/>
      </items>
    </pivotField>
    <pivotField axis="axisRow" showAll="0" sortType="descending">
      <items count="6">
        <item x="3"/>
        <item x="2"/>
        <item x="0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1"/>
  </rowFields>
  <rowItems count="6">
    <i>
      <x v="2"/>
    </i>
    <i>
      <x v="4"/>
    </i>
    <i>
      <x v="1"/>
    </i>
    <i>
      <x/>
    </i>
    <i>
      <x v="3"/>
    </i>
    <i t="grand">
      <x/>
    </i>
  </rowItems>
  <colItems count="1">
    <i/>
  </colItems>
  <pageFields count="1">
    <pageField fld="0" hier="-1"/>
  </pageFields>
  <dataFields count="1">
    <dataField name="Sum of TotalRevenue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8FD43-DA39-4646-AC3F-2294D25E7E71}">
  <dimension ref="A1:B9"/>
  <sheetViews>
    <sheetView showGridLines="0" workbookViewId="0">
      <selection activeCell="B55" sqref="B55"/>
    </sheetView>
  </sheetViews>
  <sheetFormatPr defaultRowHeight="15" x14ac:dyDescent="0.25"/>
  <cols>
    <col min="1" max="1" width="17.140625" customWidth="1"/>
    <col min="2" max="2" width="19" customWidth="1"/>
    <col min="3" max="3" width="15" customWidth="1"/>
    <col min="4" max="4" width="16.140625" customWidth="1"/>
    <col min="5" max="5" width="10.5703125" customWidth="1"/>
    <col min="11" max="11" width="16.85546875" bestFit="1" customWidth="1"/>
    <col min="12" max="12" width="20.42578125" bestFit="1" customWidth="1"/>
  </cols>
  <sheetData>
    <row r="1" spans="1:2" x14ac:dyDescent="0.25">
      <c r="A1" s="1" t="s">
        <v>0</v>
      </c>
      <c r="B1" s="2">
        <v>2025</v>
      </c>
    </row>
    <row r="3" spans="1:2" x14ac:dyDescent="0.25">
      <c r="A3" s="1" t="s">
        <v>15</v>
      </c>
      <c r="B3" t="s">
        <v>17</v>
      </c>
    </row>
    <row r="4" spans="1:2" x14ac:dyDescent="0.25">
      <c r="A4" s="2" t="s">
        <v>5</v>
      </c>
      <c r="B4" s="3">
        <v>5153.1000000000004</v>
      </c>
    </row>
    <row r="5" spans="1:2" x14ac:dyDescent="0.25">
      <c r="A5" s="2" t="s">
        <v>4</v>
      </c>
      <c r="B5" s="3">
        <v>3771.36</v>
      </c>
    </row>
    <row r="6" spans="1:2" x14ac:dyDescent="0.25">
      <c r="A6" s="2" t="s">
        <v>2</v>
      </c>
      <c r="B6" s="3">
        <v>3771.36</v>
      </c>
    </row>
    <row r="7" spans="1:2" x14ac:dyDescent="0.25">
      <c r="A7" s="2" t="s">
        <v>6</v>
      </c>
      <c r="B7" s="3">
        <v>3771.36</v>
      </c>
    </row>
    <row r="8" spans="1:2" x14ac:dyDescent="0.25">
      <c r="A8" s="2" t="s">
        <v>3</v>
      </c>
      <c r="B8" s="3">
        <v>3752.88</v>
      </c>
    </row>
    <row r="9" spans="1:2" x14ac:dyDescent="0.25">
      <c r="A9" s="2" t="s">
        <v>16</v>
      </c>
      <c r="B9" s="3">
        <v>20220.060000000001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3D498-A4BA-4CAE-88D8-7DD1C69A9904}">
  <dimension ref="A1:B9"/>
  <sheetViews>
    <sheetView showGridLines="0" workbookViewId="0">
      <selection activeCell="H37" sqref="H37"/>
    </sheetView>
  </sheetViews>
  <sheetFormatPr defaultRowHeight="15" x14ac:dyDescent="0.25"/>
  <cols>
    <col min="1" max="1" width="30.7109375" bestFit="1" customWidth="1"/>
    <col min="2" max="2" width="20.42578125" bestFit="1" customWidth="1"/>
    <col min="3" max="3" width="14.5703125" bestFit="1" customWidth="1"/>
    <col min="4" max="4" width="15.42578125" bestFit="1" customWidth="1"/>
    <col min="8" max="8" width="30.7109375" bestFit="1" customWidth="1"/>
    <col min="9" max="10" width="20.42578125" bestFit="1" customWidth="1"/>
    <col min="11" max="11" width="7" bestFit="1" customWidth="1"/>
    <col min="12" max="12" width="5" bestFit="1" customWidth="1"/>
    <col min="13" max="13" width="8" bestFit="1" customWidth="1"/>
    <col min="14" max="14" width="11.28515625" bestFit="1" customWidth="1"/>
  </cols>
  <sheetData>
    <row r="1" spans="1:2" x14ac:dyDescent="0.25">
      <c r="A1" s="1" t="s">
        <v>0</v>
      </c>
      <c r="B1" t="s">
        <v>18</v>
      </c>
    </row>
    <row r="3" spans="1:2" x14ac:dyDescent="0.25">
      <c r="A3" s="1" t="s">
        <v>15</v>
      </c>
      <c r="B3" t="s">
        <v>17</v>
      </c>
    </row>
    <row r="4" spans="1:2" x14ac:dyDescent="0.25">
      <c r="A4" s="2" t="s">
        <v>7</v>
      </c>
      <c r="B4" s="3">
        <v>3752.88</v>
      </c>
    </row>
    <row r="5" spans="1:2" x14ac:dyDescent="0.25">
      <c r="A5" s="2" t="s">
        <v>8</v>
      </c>
      <c r="B5" s="3">
        <v>3494</v>
      </c>
    </row>
    <row r="6" spans="1:2" x14ac:dyDescent="0.25">
      <c r="A6" s="2" t="s">
        <v>13</v>
      </c>
      <c r="B6" s="3">
        <v>1763.7</v>
      </c>
    </row>
    <row r="7" spans="1:2" x14ac:dyDescent="0.25">
      <c r="A7" s="2" t="s">
        <v>1</v>
      </c>
      <c r="B7" s="3">
        <v>1717.7</v>
      </c>
    </row>
    <row r="8" spans="1:2" x14ac:dyDescent="0.25">
      <c r="A8" s="2" t="s">
        <v>14</v>
      </c>
      <c r="B8" s="3">
        <v>1505.64</v>
      </c>
    </row>
    <row r="9" spans="1:2" x14ac:dyDescent="0.25">
      <c r="A9" s="2" t="s">
        <v>16</v>
      </c>
      <c r="B9" s="3">
        <v>12233.92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5C97B-066B-4C49-BEA5-2EFBA795326A}">
  <dimension ref="A1:B9"/>
  <sheetViews>
    <sheetView showGridLines="0" tabSelected="1" workbookViewId="0">
      <selection activeCell="I41" sqref="I41"/>
    </sheetView>
  </sheetViews>
  <sheetFormatPr defaultRowHeight="15" x14ac:dyDescent="0.25"/>
  <cols>
    <col min="1" max="1" width="13.85546875" bestFit="1" customWidth="1"/>
    <col min="2" max="2" width="20.42578125" bestFit="1" customWidth="1"/>
    <col min="3" max="3" width="14.5703125" bestFit="1" customWidth="1"/>
    <col min="4" max="4" width="15.42578125" bestFit="1" customWidth="1"/>
    <col min="8" max="8" width="13.85546875" bestFit="1" customWidth="1"/>
    <col min="9" max="9" width="20.42578125" bestFit="1" customWidth="1"/>
  </cols>
  <sheetData>
    <row r="1" spans="1:2" x14ac:dyDescent="0.25">
      <c r="A1" s="1" t="s">
        <v>0</v>
      </c>
      <c r="B1" t="s">
        <v>18</v>
      </c>
    </row>
    <row r="3" spans="1:2" x14ac:dyDescent="0.25">
      <c r="A3" s="1" t="s">
        <v>15</v>
      </c>
      <c r="B3" t="s">
        <v>17</v>
      </c>
    </row>
    <row r="4" spans="1:2" x14ac:dyDescent="0.25">
      <c r="A4" s="2" t="s">
        <v>12</v>
      </c>
      <c r="B4" s="3">
        <v>3752.88</v>
      </c>
    </row>
    <row r="5" spans="1:2" x14ac:dyDescent="0.25">
      <c r="A5" s="2" t="s">
        <v>11</v>
      </c>
      <c r="B5" s="3">
        <v>3494</v>
      </c>
    </row>
    <row r="6" spans="1:2" x14ac:dyDescent="0.25">
      <c r="A6" s="2" t="s">
        <v>3</v>
      </c>
      <c r="B6" s="3">
        <v>2501.92</v>
      </c>
    </row>
    <row r="7" spans="1:2" x14ac:dyDescent="0.25">
      <c r="A7" s="2" t="s">
        <v>10</v>
      </c>
      <c r="B7" s="3">
        <v>1922.28</v>
      </c>
    </row>
    <row r="8" spans="1:2" x14ac:dyDescent="0.25">
      <c r="A8" s="2" t="s">
        <v>9</v>
      </c>
      <c r="B8" s="3">
        <v>1717.7</v>
      </c>
    </row>
    <row r="9" spans="1:2" x14ac:dyDescent="0.25">
      <c r="A9" s="2" t="s">
        <v>16</v>
      </c>
      <c r="B9" s="3">
        <v>13388.78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FFD634-374F-4EEE-9253-389CA9FDBA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Q2 2025</vt:lpstr>
      <vt:lpstr>Q2_2024</vt:lpstr>
      <vt:lpstr>Q2_2023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alondra martinez</dc:creator>
  <cp:lastModifiedBy>alondra martinez</cp:lastModifiedBy>
  <dcterms:created xsi:type="dcterms:W3CDTF">2026-04-29T17:22:00Z</dcterms:created>
  <dcterms:modified xsi:type="dcterms:W3CDTF">2026-04-30T17:08:02Z</dcterms:modified>
</cp:coreProperties>
</file>